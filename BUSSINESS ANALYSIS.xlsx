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activeX/activeX1.bin" ContentType="application/vnd.ms-office.activeX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7128" activeTab="1"/>
  </bookViews>
  <sheets>
    <sheet name="BUSSINESS DATA" sheetId="1" r:id="rId1"/>
    <sheet name="EXECUTIVE SUMMARY" sheetId="2" r:id="rId2"/>
    <sheet name="PROFFESSIONAL INSIGHT" sheetId="4" r:id="rId3"/>
  </sheets>
  <calcPr calcId="124519"/>
</workbook>
</file>

<file path=xl/calcChain.xml><?xml version="1.0" encoding="utf-8"?>
<calcChain xmlns="http://schemas.openxmlformats.org/spreadsheetml/2006/main">
  <c r="B22" i="1"/>
  <c r="B21"/>
  <c r="B20"/>
  <c r="B19"/>
  <c r="B18"/>
</calcChain>
</file>

<file path=xl/sharedStrings.xml><?xml version="1.0" encoding="utf-8"?>
<sst xmlns="http://schemas.openxmlformats.org/spreadsheetml/2006/main" count="100" uniqueCount="57">
  <si>
    <t>Campaign</t>
  </si>
  <si>
    <t>Channel</t>
  </si>
  <si>
    <t>Impressions</t>
  </si>
  <si>
    <t>Clicks</t>
  </si>
  <si>
    <t>Conversions</t>
  </si>
  <si>
    <t>Revenue</t>
  </si>
  <si>
    <t>Date</t>
  </si>
  <si>
    <t>Summer25</t>
  </si>
  <si>
    <t>Google</t>
  </si>
  <si>
    <t>Facebook</t>
  </si>
  <si>
    <t>Email</t>
  </si>
  <si>
    <t>Fall25</t>
  </si>
  <si>
    <t>Winter25</t>
  </si>
  <si>
    <t>Spend</t>
  </si>
  <si>
    <t>TOTAL SPEND</t>
  </si>
  <si>
    <t>TOTAL IMPRESSIONS</t>
  </si>
  <si>
    <t>TOTAL CLICKS</t>
  </si>
  <si>
    <t>TOTAL CONVERSIONS</t>
  </si>
  <si>
    <t>TOTAL REVENUE</t>
  </si>
  <si>
    <t>,</t>
  </si>
  <si>
    <t>Total Spend</t>
  </si>
  <si>
    <t>Total Revenue</t>
  </si>
  <si>
    <t>ROAS</t>
  </si>
  <si>
    <t>CPA</t>
  </si>
  <si>
    <t>$9,500</t>
  </si>
  <si>
    <t>$53,000</t>
  </si>
  <si>
    <t>5.58x</t>
  </si>
  <si>
    <t>$17.92</t>
  </si>
  <si>
    <t>$11,500</t>
  </si>
  <si>
    <t>$63,000</t>
  </si>
  <si>
    <t>5.48x</t>
  </si>
  <si>
    <t>$18.25</t>
  </si>
  <si>
    <t>$10,500</t>
  </si>
  <si>
    <t>$58,000</t>
  </si>
  <si>
    <t>5.52x</t>
  </si>
  <si>
    <t>$18.10</t>
  </si>
  <si>
    <t>CAMPAIGN PERFORMANCE BY SEASON</t>
  </si>
  <si>
    <r>
      <rPr>
        <b/>
        <sz val="16"/>
        <color theme="1"/>
        <rFont val="Calibri"/>
        <family val="2"/>
        <scheme val="minor"/>
      </rPr>
      <t>Insight</t>
    </r>
    <r>
      <rPr>
        <b/>
        <sz val="14"/>
        <color theme="1"/>
        <rFont val="Calibri"/>
        <family val="2"/>
        <scheme val="minor"/>
      </rPr>
      <t xml:space="preserve">    : Performance is consistent across seasons (ROAS 5.48–5.58). Fall had the highest spend and revenue, while Summer was slightly more efficient.</t>
    </r>
  </si>
  <si>
    <t>NOTE :ROAS (RETURNS ON AD SPENT)</t>
  </si>
  <si>
    <t>Key Finding #1: Email is the Undisputed Star</t>
  </si>
  <si>
    <t>Key Finding #2: Facebook is Dragging Performance</t>
  </si>
  <si>
    <t>Key Finding #3: Google is the Reliable Workhorse</t>
  </si>
  <si>
    <t>Seasonal Observation</t>
  </si>
  <si>
    <t>Performance is remarkably consistent across all three campaigns (ROAS range: 5.48–5.58). No significant seasonality or fatigue detected.</t>
  </si>
  <si>
    <t>✅ One-Sentence Summary</t>
  </si>
  <si>
    <t>Email is highly efficient and underfunded; Facebook is inefficient and overfunded; Google is a stable anchor – reallocating 15% of Facebook budget to Email would lift overall ROAS to approximately 5.14x.</t>
  </si>
  <si>
    <t>OVERALL PERF0RMANCE</t>
  </si>
  <si>
    <r>
      <t xml:space="preserve">ROAS measures </t>
    </r>
    <r>
      <rPr>
        <b/>
        <sz val="11"/>
        <color theme="1"/>
        <rFont val="Calibri"/>
        <family val="2"/>
        <scheme val="minor"/>
      </rPr>
      <t xml:space="preserve">how much revenue you generate for every unit of currency (₦) spent on </t>
    </r>
  </si>
  <si>
    <t>CPA (COST PER ACQUSITION)</t>
  </si>
  <si>
    <r>
      <t xml:space="preserve">CPA measures </t>
    </r>
    <r>
      <rPr>
        <b/>
        <sz val="11"/>
        <color theme="1"/>
        <rFont val="Calibri"/>
        <family val="2"/>
        <scheme val="minor"/>
      </rPr>
      <t>how much you spend to acquire one conversion</t>
    </r>
  </si>
  <si>
    <r>
      <t xml:space="preserve">The three campaigns (Summer25, Fall25, Winter25) delivered a </t>
    </r>
    <r>
      <rPr>
        <b/>
        <sz val="14"/>
        <color theme="1"/>
        <rFont val="Calibri"/>
        <family val="2"/>
        <scheme val="minor"/>
      </rPr>
      <t>solid PROFITABILTY</t>
    </r>
    <r>
      <rPr>
        <sz val="14"/>
        <color theme="1"/>
        <rFont val="Calibri"/>
        <family val="2"/>
        <scheme val="minor"/>
      </rPr>
      <t xml:space="preserve">, generating </t>
    </r>
    <r>
      <rPr>
        <b/>
        <sz val="14"/>
        <color theme="1"/>
        <rFont val="Calibri"/>
        <family val="2"/>
        <scheme val="minor"/>
      </rPr>
      <t>₦154,000 in revenue</t>
    </r>
    <r>
      <rPr>
        <sz val="14"/>
        <color theme="1"/>
        <rFont val="Calibri"/>
        <family val="2"/>
        <scheme val="minor"/>
      </rPr>
      <t xml:space="preserve"> from </t>
    </r>
    <r>
      <rPr>
        <b/>
        <sz val="14"/>
        <color theme="1"/>
        <rFont val="Calibri"/>
        <family val="2"/>
        <scheme val="minor"/>
      </rPr>
      <t>₦31,500 spend</t>
    </r>
    <r>
      <rPr>
        <sz val="14"/>
        <color theme="1"/>
        <rFont val="Calibri"/>
        <family val="2"/>
        <scheme val="minor"/>
      </rPr>
      <t xml:space="preserve"> – a healthy return indicating profitable marketing operations.</t>
    </r>
  </si>
  <si>
    <r>
      <t>Action:</t>
    </r>
    <r>
      <rPr>
        <sz val="14"/>
        <color theme="1"/>
        <rFont val="Calibri"/>
        <family val="2"/>
        <scheme val="minor"/>
      </rPr>
      <t xml:space="preserve"> Increase Email budget immediately.</t>
    </r>
  </si>
  <si>
    <r>
      <t>Facebook delivered the lowest ROAS (</t>
    </r>
    <r>
      <rPr>
        <b/>
        <sz val="14"/>
        <color theme="1"/>
        <rFont val="Calibri"/>
        <family val="2"/>
        <scheme val="minor"/>
      </rPr>
      <t>4.51x</t>
    </r>
    <r>
      <rPr>
        <sz val="14"/>
        <color theme="1"/>
        <rFont val="Calibri"/>
        <family val="2"/>
        <scheme val="minor"/>
      </rPr>
      <t>) and highest CPA (</t>
    </r>
    <r>
      <rPr>
        <b/>
        <sz val="14"/>
        <color theme="1"/>
        <rFont val="Calibri"/>
        <family val="2"/>
        <scheme val="minor"/>
      </rPr>
      <t>₦22.16</t>
    </r>
    <r>
      <rPr>
        <sz val="14"/>
        <color theme="1"/>
        <rFont val="Calibri"/>
        <family val="2"/>
        <scheme val="minor"/>
      </rPr>
      <t xml:space="preserve">). It consumes </t>
    </r>
    <r>
      <rPr>
        <b/>
        <sz val="14"/>
        <color theme="1"/>
        <rFont val="Calibri"/>
        <family val="2"/>
        <scheme val="minor"/>
      </rPr>
      <t>36% of total spend</t>
    </r>
    <r>
      <rPr>
        <sz val="14"/>
        <color theme="1"/>
        <rFont val="Calibri"/>
        <family val="2"/>
        <scheme val="minor"/>
      </rPr>
      <t xml:space="preserve"> but generates only </t>
    </r>
    <r>
      <rPr>
        <b/>
        <sz val="14"/>
        <color theme="1"/>
        <rFont val="Calibri"/>
        <family val="2"/>
        <scheme val="minor"/>
      </rPr>
      <t>33% of revenue</t>
    </r>
    <r>
      <rPr>
        <sz val="14"/>
        <color theme="1"/>
        <rFont val="Calibri"/>
        <family val="2"/>
        <scheme val="minor"/>
      </rPr>
      <t xml:space="preserve"> – an inefficient allocation.</t>
    </r>
  </si>
  <si>
    <r>
      <t>Action:</t>
    </r>
    <r>
      <rPr>
        <sz val="14"/>
        <color theme="1"/>
        <rFont val="Calibri"/>
        <family val="2"/>
        <scheme val="minor"/>
      </rPr>
      <t xml:space="preserve"> Reduce Facebook spend by 10–15% and reallocate to Email.</t>
    </r>
  </si>
  <si>
    <r>
      <t>Google drives the highest absolute revenue (</t>
    </r>
    <r>
      <rPr>
        <b/>
        <sz val="14"/>
        <color theme="1"/>
        <rFont val="Calibri"/>
        <family val="2"/>
        <scheme val="minor"/>
      </rPr>
      <t>₦83,000</t>
    </r>
    <r>
      <rPr>
        <sz val="14"/>
        <color theme="1"/>
        <rFont val="Calibri"/>
        <family val="2"/>
        <scheme val="minor"/>
      </rPr>
      <t>) and conversions (</t>
    </r>
    <r>
      <rPr>
        <b/>
        <sz val="14"/>
        <color theme="1"/>
        <rFont val="Calibri"/>
        <family val="2"/>
        <scheme val="minor"/>
      </rPr>
      <t>830</t>
    </r>
    <r>
      <rPr>
        <sz val="14"/>
        <color theme="1"/>
        <rFont val="Calibri"/>
        <family val="2"/>
        <scheme val="minor"/>
      </rPr>
      <t xml:space="preserve">) with a stable </t>
    </r>
    <r>
      <rPr>
        <b/>
        <sz val="14"/>
        <color theme="1"/>
        <rFont val="Calibri"/>
        <family val="2"/>
        <scheme val="minor"/>
      </rPr>
      <t>5.03x ROAS</t>
    </r>
    <r>
      <rPr>
        <sz val="14"/>
        <color theme="1"/>
        <rFont val="Calibri"/>
        <family val="2"/>
        <scheme val="minor"/>
      </rPr>
      <t>. It is neither outstanding nor poor – a dependable foundation.</t>
    </r>
  </si>
  <si>
    <r>
      <t>Action:</t>
    </r>
    <r>
      <rPr>
        <sz val="14"/>
        <color theme="1"/>
        <rFont val="Calibri"/>
        <family val="2"/>
        <scheme val="minor"/>
      </rPr>
      <t xml:space="preserve"> Maintain current Google spend.</t>
    </r>
  </si>
  <si>
    <r>
      <t xml:space="preserve">Email achieved </t>
    </r>
    <r>
      <rPr>
        <b/>
        <sz val="14"/>
        <color theme="1"/>
        <rFont val="Calibri"/>
        <family val="2"/>
        <scheme val="minor"/>
      </rPr>
      <t>EXCELLENT PROFITABILIT</t>
    </r>
    <r>
      <rPr>
        <sz val="14"/>
        <color theme="1"/>
        <rFont val="Calibri"/>
        <family val="2"/>
        <scheme val="minor"/>
      </rPr>
      <t xml:space="preserve">Y with the lowest CPA of </t>
    </r>
    <r>
      <rPr>
        <b/>
        <sz val="14"/>
        <color theme="1"/>
        <rFont val="Calibri"/>
        <family val="2"/>
        <scheme val="minor"/>
      </rPr>
      <t>₦9.25</t>
    </r>
    <r>
      <rPr>
        <sz val="14"/>
        <color theme="1"/>
        <rFont val="Calibri"/>
        <family val="2"/>
        <scheme val="minor"/>
      </rPr>
      <t xml:space="preserve">, making it the most efficient channel by a wide margin. Every naira spent on Email returns nearly </t>
    </r>
    <r>
      <rPr>
        <b/>
        <sz val="14"/>
        <color theme="1"/>
        <rFont val="Calibri"/>
        <family val="2"/>
        <scheme val="minor"/>
      </rPr>
      <t>11 naira</t>
    </r>
    <r>
      <rPr>
        <sz val="14"/>
        <color theme="1"/>
        <rFont val="Calibri"/>
        <family val="2"/>
        <scheme val="minor"/>
      </rPr>
      <t xml:space="preserve"> – nearly double the campaign average.</t>
    </r>
  </si>
</sst>
</file>

<file path=xl/styles.xml><?xml version="1.0" encoding="utf-8"?>
<styleSheet xmlns="http://schemas.openxmlformats.org/spreadsheetml/2006/main">
  <numFmts count="1">
    <numFmt numFmtId="164" formatCode="_-[$NGN]\ * #,##0.00_-;\-[$NGN]\ * #,##0.00_-;_-[$NGN]\ * &quot;-&quot;??_-;_-@_-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10" fontId="5" fillId="0" borderId="0" xfId="0" applyNumberFormat="1" applyFont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164" fontId="2" fillId="0" borderId="0" xfId="0" applyNumberFormat="1" applyFont="1"/>
  </cellXfs>
  <cellStyles count="1">
    <cellStyle name="Normal" xfId="0" builtinId="0"/>
  </cellStyles>
  <dxfs count="3">
    <dxf>
      <numFmt numFmtId="164" formatCode="_-[$NGN]\ * #,##0.00_-;\-[$NGN]\ * #,##0.00_-;_-[$NGN]\ * &quot;-&quot;??_-;_-@_-"/>
    </dxf>
    <dxf>
      <numFmt numFmtId="164" formatCode="_-[$NGN]\ * #,##0.00_-;\-[$NGN]\ * #,##0.00_-;_-[$NGN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637729658792661"/>
          <c:y val="7.4548702245552642E-2"/>
          <c:w val="0.6273324584426947"/>
          <c:h val="0.67099883347914924"/>
        </c:manualLayout>
      </c:layout>
      <c:barChart>
        <c:barDir val="col"/>
        <c:grouping val="clustered"/>
        <c:ser>
          <c:idx val="0"/>
          <c:order val="0"/>
          <c:tx>
            <c:strRef>
              <c:f>'BUSSINESS DATA'!$C$1</c:f>
              <c:strCache>
                <c:ptCount val="1"/>
                <c:pt idx="0">
                  <c:v>Spend</c:v>
                </c:pt>
              </c:strCache>
            </c:strRef>
          </c:tx>
          <c:cat>
            <c:multiLvlStrRef>
              <c:f>'BUSSINESS DATA'!$A$2:$B$4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Summer25</c:v>
                  </c:pt>
                  <c:pt idx="1">
                    <c:v>Summer25</c:v>
                  </c:pt>
                  <c:pt idx="2">
                    <c:v>Summer25</c:v>
                  </c:pt>
                </c:lvl>
              </c:multiLvlStrCache>
            </c:multiLvlStrRef>
          </c:cat>
          <c:val>
            <c:numRef>
              <c:f>'BUSSINESS DATA'!$C$2:$C$4</c:f>
              <c:numCache>
                <c:formatCode>_-[$NGN]\ * #,##0.00_-;\-[$NGN]\ * #,##0.00_-;_-[$NGN]\ * "-"??_-;_-@_-</c:formatCode>
                <c:ptCount val="3"/>
                <c:pt idx="0">
                  <c:v>5000</c:v>
                </c:pt>
                <c:pt idx="1">
                  <c:v>3500</c:v>
                </c:pt>
                <c:pt idx="2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'BUSSINESS DATA'!$D$1</c:f>
              <c:strCache>
                <c:ptCount val="1"/>
                <c:pt idx="0">
                  <c:v>Impressions</c:v>
                </c:pt>
              </c:strCache>
            </c:strRef>
          </c:tx>
          <c:cat>
            <c:multiLvlStrRef>
              <c:f>'BUSSINESS DATA'!$A$2:$B$4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Summer25</c:v>
                  </c:pt>
                  <c:pt idx="1">
                    <c:v>Summer25</c:v>
                  </c:pt>
                  <c:pt idx="2">
                    <c:v>Summer25</c:v>
                  </c:pt>
                </c:lvl>
              </c:multiLvlStrCache>
            </c:multiLvlStrRef>
          </c:cat>
          <c:val>
            <c:numRef>
              <c:f>'BUSSINESS DATA'!$D$2:$D$4</c:f>
              <c:numCache>
                <c:formatCode>General</c:formatCode>
                <c:ptCount val="3"/>
                <c:pt idx="0">
                  <c:v>100000</c:v>
                </c:pt>
                <c:pt idx="1">
                  <c:v>80000</c:v>
                </c:pt>
                <c:pt idx="2">
                  <c:v>20000</c:v>
                </c:pt>
              </c:numCache>
            </c:numRef>
          </c:val>
        </c:ser>
        <c:ser>
          <c:idx val="2"/>
          <c:order val="2"/>
          <c:tx>
            <c:strRef>
              <c:f>'BUSSINESS DATA'!$E$1</c:f>
              <c:strCache>
                <c:ptCount val="1"/>
                <c:pt idx="0">
                  <c:v>Clicks</c:v>
                </c:pt>
              </c:strCache>
            </c:strRef>
          </c:tx>
          <c:cat>
            <c:multiLvlStrRef>
              <c:f>'BUSSINESS DATA'!$A$2:$B$4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Summer25</c:v>
                  </c:pt>
                  <c:pt idx="1">
                    <c:v>Summer25</c:v>
                  </c:pt>
                  <c:pt idx="2">
                    <c:v>Summer25</c:v>
                  </c:pt>
                </c:lvl>
              </c:multiLvlStrCache>
            </c:multiLvlStrRef>
          </c:cat>
          <c:val>
            <c:numRef>
              <c:f>'BUSSINESS DATA'!$E$2:$E$4</c:f>
              <c:numCache>
                <c:formatCode>General</c:formatCode>
                <c:ptCount val="3"/>
                <c:pt idx="0">
                  <c:v>5000</c:v>
                </c:pt>
                <c:pt idx="1">
                  <c:v>3200</c:v>
                </c:pt>
                <c:pt idx="2">
                  <c:v>2000</c:v>
                </c:pt>
              </c:numCache>
            </c:numRef>
          </c:val>
        </c:ser>
        <c:ser>
          <c:idx val="3"/>
          <c:order val="3"/>
          <c:tx>
            <c:strRef>
              <c:f>'BUSSINESS DATA'!$F$1</c:f>
              <c:strCache>
                <c:ptCount val="1"/>
                <c:pt idx="0">
                  <c:v>Conversions</c:v>
                </c:pt>
              </c:strCache>
            </c:strRef>
          </c:tx>
          <c:cat>
            <c:multiLvlStrRef>
              <c:f>'BUSSINESS DATA'!$A$2:$B$4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Summer25</c:v>
                  </c:pt>
                  <c:pt idx="1">
                    <c:v>Summer25</c:v>
                  </c:pt>
                  <c:pt idx="2">
                    <c:v>Summer25</c:v>
                  </c:pt>
                </c:lvl>
              </c:multiLvlStrCache>
            </c:multiLvlStrRef>
          </c:cat>
          <c:val>
            <c:numRef>
              <c:f>'BUSSINESS DATA'!$F$2:$F$4</c:f>
              <c:numCache>
                <c:formatCode>General</c:formatCode>
                <c:ptCount val="3"/>
                <c:pt idx="0">
                  <c:v>250</c:v>
                </c:pt>
                <c:pt idx="1">
                  <c:v>160</c:v>
                </c:pt>
                <c:pt idx="2">
                  <c:v>120</c:v>
                </c:pt>
              </c:numCache>
            </c:numRef>
          </c:val>
        </c:ser>
        <c:axId val="45216512"/>
        <c:axId val="45218048"/>
      </c:barChart>
      <c:catAx>
        <c:axId val="45216512"/>
        <c:scaling>
          <c:orientation val="minMax"/>
        </c:scaling>
        <c:axPos val="b"/>
        <c:tickLblPos val="nextTo"/>
        <c:crossAx val="45218048"/>
        <c:crosses val="autoZero"/>
        <c:auto val="1"/>
        <c:lblAlgn val="ctr"/>
        <c:lblOffset val="100"/>
      </c:catAx>
      <c:valAx>
        <c:axId val="45218048"/>
        <c:scaling>
          <c:orientation val="minMax"/>
        </c:scaling>
        <c:axPos val="l"/>
        <c:majorGridlines/>
        <c:numFmt formatCode="_-[$NGN]\ * #,##0.00_-;\-[$NGN]\ * #,##0.00_-;_-[$NGN]\ * &quot;-&quot;??_-;_-@_-" sourceLinked="1"/>
        <c:tickLblPos val="nextTo"/>
        <c:crossAx val="452165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'BUSSINESS DATA'!$G$1</c:f>
              <c:strCache>
                <c:ptCount val="1"/>
                <c:pt idx="0">
                  <c:v>Revenue</c:v>
                </c:pt>
              </c:strCache>
            </c:strRef>
          </c:tx>
          <c:marker>
            <c:symbol val="none"/>
          </c:marker>
          <c:cat>
            <c:multiLvlStrRef>
              <c:f>'BUSSINESS DATA'!$A$2:$B$4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Summer25</c:v>
                  </c:pt>
                  <c:pt idx="1">
                    <c:v>Summer25</c:v>
                  </c:pt>
                  <c:pt idx="2">
                    <c:v>Summer25</c:v>
                  </c:pt>
                </c:lvl>
              </c:multiLvlStrCache>
            </c:multiLvlStrRef>
          </c:cat>
          <c:val>
            <c:numRef>
              <c:f>'BUSSINESS DATA'!$G$2:$G$4</c:f>
              <c:numCache>
                <c:formatCode>_-[$NGN]\ * #,##0.00_-;\-[$NGN]\ * #,##0.00_-;_-[$NGN]\ * "-"??_-;_-@_-</c:formatCode>
                <c:ptCount val="3"/>
                <c:pt idx="0">
                  <c:v>25000</c:v>
                </c:pt>
                <c:pt idx="1">
                  <c:v>16000</c:v>
                </c:pt>
                <c:pt idx="2">
                  <c:v>12000</c:v>
                </c:pt>
              </c:numCache>
            </c:numRef>
          </c:val>
        </c:ser>
        <c:marker val="1"/>
        <c:axId val="45237760"/>
        <c:axId val="45239296"/>
      </c:lineChart>
      <c:catAx>
        <c:axId val="45237760"/>
        <c:scaling>
          <c:orientation val="minMax"/>
        </c:scaling>
        <c:axPos val="b"/>
        <c:tickLblPos val="nextTo"/>
        <c:crossAx val="45239296"/>
        <c:crosses val="autoZero"/>
        <c:auto val="1"/>
        <c:lblAlgn val="ctr"/>
        <c:lblOffset val="100"/>
      </c:catAx>
      <c:valAx>
        <c:axId val="45239296"/>
        <c:scaling>
          <c:orientation val="minMax"/>
        </c:scaling>
        <c:axPos val="l"/>
        <c:majorGridlines/>
        <c:numFmt formatCode="_-[$NGN]\ * #,##0.00_-;\-[$NGN]\ * #,##0.00_-;_-[$NGN]\ * &quot;-&quot;??_-;_-@_-" sourceLinked="1"/>
        <c:tickLblPos val="nextTo"/>
        <c:crossAx val="45237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2693285214348213"/>
          <c:y val="7.4548702245552628E-2"/>
          <c:w val="0.6273324584426947"/>
          <c:h val="0.67099883347914924"/>
        </c:manualLayout>
      </c:layout>
      <c:barChart>
        <c:barDir val="col"/>
        <c:grouping val="clustered"/>
        <c:ser>
          <c:idx val="0"/>
          <c:order val="0"/>
          <c:tx>
            <c:strRef>
              <c:f>'BUSSINESS DATA'!$C$6</c:f>
              <c:strCache>
                <c:ptCount val="1"/>
                <c:pt idx="0">
                  <c:v>Spend</c:v>
                </c:pt>
              </c:strCache>
            </c:strRef>
          </c:tx>
          <c:cat>
            <c:multiLvlStrRef>
              <c:f>'BUSSINESS DATA'!$A$7:$B$9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Fall25</c:v>
                  </c:pt>
                  <c:pt idx="1">
                    <c:v>Fall25</c:v>
                  </c:pt>
                  <c:pt idx="2">
                    <c:v>Fall25</c:v>
                  </c:pt>
                </c:lvl>
              </c:multiLvlStrCache>
            </c:multiLvlStrRef>
          </c:cat>
          <c:val>
            <c:numRef>
              <c:f>'BUSSINESS DATA'!$C$7:$C$9</c:f>
              <c:numCache>
                <c:formatCode>_-[$NGN]\ * #,##0.00_-;\-[$NGN]\ * #,##0.00_-;_-[$NGN]\ * "-"??_-;_-@_-</c:formatCode>
                <c:ptCount val="3"/>
                <c:pt idx="0">
                  <c:v>6000</c:v>
                </c:pt>
                <c:pt idx="1">
                  <c:v>4000</c:v>
                </c:pt>
                <c:pt idx="2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'BUSSINESS DATA'!$D$6</c:f>
              <c:strCache>
                <c:ptCount val="1"/>
                <c:pt idx="0">
                  <c:v>Impressions</c:v>
                </c:pt>
              </c:strCache>
            </c:strRef>
          </c:tx>
          <c:cat>
            <c:multiLvlStrRef>
              <c:f>'BUSSINESS DATA'!$A$7:$B$9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Fall25</c:v>
                  </c:pt>
                  <c:pt idx="1">
                    <c:v>Fall25</c:v>
                  </c:pt>
                  <c:pt idx="2">
                    <c:v>Fall25</c:v>
                  </c:pt>
                </c:lvl>
              </c:multiLvlStrCache>
            </c:multiLvlStrRef>
          </c:cat>
          <c:val>
            <c:numRef>
              <c:f>'BUSSINESS DATA'!$D$7:$D$9</c:f>
              <c:numCache>
                <c:formatCode>General</c:formatCode>
                <c:ptCount val="3"/>
                <c:pt idx="0">
                  <c:v>120000</c:v>
                </c:pt>
                <c:pt idx="1">
                  <c:v>90000</c:v>
                </c:pt>
                <c:pt idx="2">
                  <c:v>25000</c:v>
                </c:pt>
              </c:numCache>
            </c:numRef>
          </c:val>
        </c:ser>
        <c:ser>
          <c:idx val="2"/>
          <c:order val="2"/>
          <c:tx>
            <c:strRef>
              <c:f>'BUSSINESS DATA'!$E$6</c:f>
              <c:strCache>
                <c:ptCount val="1"/>
                <c:pt idx="0">
                  <c:v>Clicks</c:v>
                </c:pt>
              </c:strCache>
            </c:strRef>
          </c:tx>
          <c:cat>
            <c:multiLvlStrRef>
              <c:f>'BUSSINESS DATA'!$A$7:$B$9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Fall25</c:v>
                  </c:pt>
                  <c:pt idx="1">
                    <c:v>Fall25</c:v>
                  </c:pt>
                  <c:pt idx="2">
                    <c:v>Fall25</c:v>
                  </c:pt>
                </c:lvl>
              </c:multiLvlStrCache>
            </c:multiLvlStrRef>
          </c:cat>
          <c:val>
            <c:numRef>
              <c:f>'BUSSINESS DATA'!$E$7:$E$9</c:f>
              <c:numCache>
                <c:formatCode>General</c:formatCode>
                <c:ptCount val="3"/>
                <c:pt idx="0">
                  <c:v>6000</c:v>
                </c:pt>
                <c:pt idx="1">
                  <c:v>3600</c:v>
                </c:pt>
                <c:pt idx="2">
                  <c:v>2500</c:v>
                </c:pt>
              </c:numCache>
            </c:numRef>
          </c:val>
        </c:ser>
        <c:ser>
          <c:idx val="3"/>
          <c:order val="3"/>
          <c:tx>
            <c:strRef>
              <c:f>'BUSSINESS DATA'!$F$6</c:f>
              <c:strCache>
                <c:ptCount val="1"/>
                <c:pt idx="0">
                  <c:v>Conversions</c:v>
                </c:pt>
              </c:strCache>
            </c:strRef>
          </c:tx>
          <c:cat>
            <c:multiLvlStrRef>
              <c:f>'BUSSINESS DATA'!$A$7:$B$9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Fall25</c:v>
                  </c:pt>
                  <c:pt idx="1">
                    <c:v>Fall25</c:v>
                  </c:pt>
                  <c:pt idx="2">
                    <c:v>Fall25</c:v>
                  </c:pt>
                </c:lvl>
              </c:multiLvlStrCache>
            </c:multiLvlStrRef>
          </c:cat>
          <c:val>
            <c:numRef>
              <c:f>'BUSSINESS DATA'!$F$7:$F$9</c:f>
              <c:numCache>
                <c:formatCode>General</c:formatCode>
                <c:ptCount val="3"/>
                <c:pt idx="0">
                  <c:v>300</c:v>
                </c:pt>
                <c:pt idx="1">
                  <c:v>180</c:v>
                </c:pt>
                <c:pt idx="2">
                  <c:v>150</c:v>
                </c:pt>
              </c:numCache>
            </c:numRef>
          </c:val>
        </c:ser>
        <c:axId val="45278720"/>
        <c:axId val="45280256"/>
      </c:barChart>
      <c:catAx>
        <c:axId val="45278720"/>
        <c:scaling>
          <c:orientation val="minMax"/>
        </c:scaling>
        <c:axPos val="b"/>
        <c:tickLblPos val="nextTo"/>
        <c:crossAx val="45280256"/>
        <c:crosses val="autoZero"/>
        <c:auto val="1"/>
        <c:lblAlgn val="ctr"/>
        <c:lblOffset val="100"/>
      </c:catAx>
      <c:valAx>
        <c:axId val="45280256"/>
        <c:scaling>
          <c:orientation val="minMax"/>
        </c:scaling>
        <c:axPos val="l"/>
        <c:majorGridlines/>
        <c:numFmt formatCode="_-[$NGN]\ * #,##0.00_-;\-[$NGN]\ * #,##0.00_-;_-[$NGN]\ * &quot;-&quot;??_-;_-@_-" sourceLinked="1"/>
        <c:tickLblPos val="nextTo"/>
        <c:crossAx val="452787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>
        <c:manualLayout>
          <c:layoutTarget val="inner"/>
          <c:xMode val="edge"/>
          <c:yMode val="edge"/>
          <c:x val="0.17396062992125985"/>
          <c:y val="0.16702573636628754"/>
          <c:w val="0.64442825896762901"/>
          <c:h val="0.52759587343248793"/>
        </c:manualLayout>
      </c:layout>
      <c:lineChart>
        <c:grouping val="stacked"/>
        <c:ser>
          <c:idx val="0"/>
          <c:order val="0"/>
          <c:tx>
            <c:strRef>
              <c:f>'BUSSINESS DATA'!$G$6</c:f>
              <c:strCache>
                <c:ptCount val="1"/>
                <c:pt idx="0">
                  <c:v>Revenue</c:v>
                </c:pt>
              </c:strCache>
            </c:strRef>
          </c:tx>
          <c:marker>
            <c:symbol val="none"/>
          </c:marker>
          <c:cat>
            <c:multiLvlStrRef>
              <c:f>'BUSSINESS DATA'!$A$7:$B$9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Fall25</c:v>
                  </c:pt>
                  <c:pt idx="1">
                    <c:v>Fall25</c:v>
                  </c:pt>
                  <c:pt idx="2">
                    <c:v>Fall25</c:v>
                  </c:pt>
                </c:lvl>
              </c:multiLvlStrCache>
            </c:multiLvlStrRef>
          </c:cat>
          <c:val>
            <c:numRef>
              <c:f>'BUSSINESS DATA'!$G$7:$G$9</c:f>
              <c:numCache>
                <c:formatCode>_-[$NGN]\ * #,##0.00_-;\-[$NGN]\ * #,##0.00_-;_-[$NGN]\ * "-"??_-;_-@_-</c:formatCode>
                <c:ptCount val="3"/>
                <c:pt idx="0">
                  <c:v>30000</c:v>
                </c:pt>
                <c:pt idx="1">
                  <c:v>18000</c:v>
                </c:pt>
                <c:pt idx="2">
                  <c:v>15000</c:v>
                </c:pt>
              </c:numCache>
            </c:numRef>
          </c:val>
        </c:ser>
        <c:marker val="1"/>
        <c:axId val="64002304"/>
        <c:axId val="64016384"/>
      </c:lineChart>
      <c:catAx>
        <c:axId val="64002304"/>
        <c:scaling>
          <c:orientation val="minMax"/>
        </c:scaling>
        <c:axPos val="b"/>
        <c:tickLblPos val="nextTo"/>
        <c:crossAx val="64016384"/>
        <c:crosses val="autoZero"/>
        <c:auto val="1"/>
        <c:lblAlgn val="ctr"/>
        <c:lblOffset val="100"/>
      </c:catAx>
      <c:valAx>
        <c:axId val="64016384"/>
        <c:scaling>
          <c:orientation val="minMax"/>
        </c:scaling>
        <c:axPos val="l"/>
        <c:majorGridlines/>
        <c:numFmt formatCode="_-[$NGN]\ * #,##0.00_-;\-[$NGN]\ * #,##0.00_-;_-[$NGN]\ * &quot;-&quot;??_-;_-@_-" sourceLinked="1"/>
        <c:tickLblPos val="nextTo"/>
        <c:crossAx val="640023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602661854768154"/>
          <c:y val="7.4548702245552628E-2"/>
          <c:w val="0.6273324584426947"/>
          <c:h val="0.67099883347914924"/>
        </c:manualLayout>
      </c:layout>
      <c:barChart>
        <c:barDir val="col"/>
        <c:grouping val="clustered"/>
        <c:ser>
          <c:idx val="0"/>
          <c:order val="0"/>
          <c:tx>
            <c:strRef>
              <c:f>'BUSSINESS DATA'!$C$11</c:f>
              <c:strCache>
                <c:ptCount val="1"/>
                <c:pt idx="0">
                  <c:v>Spend</c:v>
                </c:pt>
              </c:strCache>
            </c:strRef>
          </c:tx>
          <c:cat>
            <c:multiLvlStrRef>
              <c:f>'BUSSINESS DATA'!$A$12:$B$14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Winter25</c:v>
                  </c:pt>
                  <c:pt idx="1">
                    <c:v>Winter25</c:v>
                  </c:pt>
                  <c:pt idx="2">
                    <c:v>Winter25</c:v>
                  </c:pt>
                </c:lvl>
              </c:multiLvlStrCache>
            </c:multiLvlStrRef>
          </c:cat>
          <c:val>
            <c:numRef>
              <c:f>'BUSSINESS DATA'!$C$12:$C$14</c:f>
              <c:numCache>
                <c:formatCode>_-[$NGN]\ * #,##0.00_-;\-[$NGN]\ * #,##0.00_-;_-[$NGN]\ * "-"??_-;_-@_-</c:formatCode>
                <c:ptCount val="3"/>
                <c:pt idx="0">
                  <c:v>5500</c:v>
                </c:pt>
                <c:pt idx="1">
                  <c:v>3800</c:v>
                </c:pt>
                <c:pt idx="2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'BUSSINESS DATA'!$D$11</c:f>
              <c:strCache>
                <c:ptCount val="1"/>
                <c:pt idx="0">
                  <c:v>Impressions</c:v>
                </c:pt>
              </c:strCache>
            </c:strRef>
          </c:tx>
          <c:cat>
            <c:multiLvlStrRef>
              <c:f>'BUSSINESS DATA'!$A$12:$B$14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Winter25</c:v>
                  </c:pt>
                  <c:pt idx="1">
                    <c:v>Winter25</c:v>
                  </c:pt>
                  <c:pt idx="2">
                    <c:v>Winter25</c:v>
                  </c:pt>
                </c:lvl>
              </c:multiLvlStrCache>
            </c:multiLvlStrRef>
          </c:cat>
          <c:val>
            <c:numRef>
              <c:f>'BUSSINESS DATA'!$D$12:$D$14</c:f>
              <c:numCache>
                <c:formatCode>General</c:formatCode>
                <c:ptCount val="3"/>
                <c:pt idx="0">
                  <c:v>110000</c:v>
                </c:pt>
                <c:pt idx="1">
                  <c:v>85000</c:v>
                </c:pt>
                <c:pt idx="2">
                  <c:v>22000</c:v>
                </c:pt>
              </c:numCache>
            </c:numRef>
          </c:val>
        </c:ser>
        <c:ser>
          <c:idx val="2"/>
          <c:order val="2"/>
          <c:tx>
            <c:strRef>
              <c:f>'BUSSINESS DATA'!$E$11</c:f>
              <c:strCache>
                <c:ptCount val="1"/>
                <c:pt idx="0">
                  <c:v>Clicks</c:v>
                </c:pt>
              </c:strCache>
            </c:strRef>
          </c:tx>
          <c:cat>
            <c:multiLvlStrRef>
              <c:f>'BUSSINESS DATA'!$A$12:$B$14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Winter25</c:v>
                  </c:pt>
                  <c:pt idx="1">
                    <c:v>Winter25</c:v>
                  </c:pt>
                  <c:pt idx="2">
                    <c:v>Winter25</c:v>
                  </c:pt>
                </c:lvl>
              </c:multiLvlStrCache>
            </c:multiLvlStrRef>
          </c:cat>
          <c:val>
            <c:numRef>
              <c:f>'BUSSINESS DATA'!$E$12:$E$14</c:f>
              <c:numCache>
                <c:formatCode>General</c:formatCode>
                <c:ptCount val="3"/>
                <c:pt idx="0">
                  <c:v>5500</c:v>
                </c:pt>
                <c:pt idx="1">
                  <c:v>3400</c:v>
                </c:pt>
                <c:pt idx="2">
                  <c:v>2200</c:v>
                </c:pt>
              </c:numCache>
            </c:numRef>
          </c:val>
        </c:ser>
        <c:ser>
          <c:idx val="3"/>
          <c:order val="3"/>
          <c:tx>
            <c:strRef>
              <c:f>'BUSSINESS DATA'!$F$11</c:f>
              <c:strCache>
                <c:ptCount val="1"/>
                <c:pt idx="0">
                  <c:v>Conversions</c:v>
                </c:pt>
              </c:strCache>
            </c:strRef>
          </c:tx>
          <c:cat>
            <c:multiLvlStrRef>
              <c:f>'BUSSINESS DATA'!$A$12:$B$14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Winter25</c:v>
                  </c:pt>
                  <c:pt idx="1">
                    <c:v>Winter25</c:v>
                  </c:pt>
                  <c:pt idx="2">
                    <c:v>Winter25</c:v>
                  </c:pt>
                </c:lvl>
              </c:multiLvlStrCache>
            </c:multiLvlStrRef>
          </c:cat>
          <c:val>
            <c:numRef>
              <c:f>'BUSSINESS DATA'!$F$12:$F$14</c:f>
              <c:numCache>
                <c:formatCode>General</c:formatCode>
                <c:ptCount val="3"/>
                <c:pt idx="0">
                  <c:v>280</c:v>
                </c:pt>
                <c:pt idx="1">
                  <c:v>170</c:v>
                </c:pt>
                <c:pt idx="2">
                  <c:v>130</c:v>
                </c:pt>
              </c:numCache>
            </c:numRef>
          </c:val>
        </c:ser>
        <c:axId val="64178048"/>
        <c:axId val="64179584"/>
      </c:barChart>
      <c:catAx>
        <c:axId val="64178048"/>
        <c:scaling>
          <c:orientation val="minMax"/>
        </c:scaling>
        <c:axPos val="b"/>
        <c:tickLblPos val="nextTo"/>
        <c:crossAx val="64179584"/>
        <c:crosses val="autoZero"/>
        <c:auto val="1"/>
        <c:lblAlgn val="ctr"/>
        <c:lblOffset val="100"/>
      </c:catAx>
      <c:valAx>
        <c:axId val="64179584"/>
        <c:scaling>
          <c:orientation val="minMax"/>
        </c:scaling>
        <c:axPos val="l"/>
        <c:majorGridlines/>
        <c:numFmt formatCode="_-[$NGN]\ * #,##0.00_-;\-[$NGN]\ * #,##0.00_-;_-[$NGN]\ * &quot;-&quot;??_-;_-@_-" sourceLinked="1"/>
        <c:tickLblPos val="nextTo"/>
        <c:crossAx val="64178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'BUSSINESS DATA'!$G$11</c:f>
              <c:strCache>
                <c:ptCount val="1"/>
                <c:pt idx="0">
                  <c:v>Revenue</c:v>
                </c:pt>
              </c:strCache>
            </c:strRef>
          </c:tx>
          <c:cat>
            <c:multiLvlStrRef>
              <c:f>'BUSSINESS DATA'!$A$12:$B$14</c:f>
              <c:multiLvlStrCache>
                <c:ptCount val="3"/>
                <c:lvl>
                  <c:pt idx="0">
                    <c:v>Google</c:v>
                  </c:pt>
                  <c:pt idx="1">
                    <c:v>Facebook</c:v>
                  </c:pt>
                  <c:pt idx="2">
                    <c:v>Email</c:v>
                  </c:pt>
                </c:lvl>
                <c:lvl>
                  <c:pt idx="0">
                    <c:v>Winter25</c:v>
                  </c:pt>
                  <c:pt idx="1">
                    <c:v>Winter25</c:v>
                  </c:pt>
                  <c:pt idx="2">
                    <c:v>Winter25</c:v>
                  </c:pt>
                </c:lvl>
              </c:multiLvlStrCache>
            </c:multiLvlStrRef>
          </c:cat>
          <c:val>
            <c:numRef>
              <c:f>'BUSSINESS DATA'!$G$12:$G$14</c:f>
              <c:numCache>
                <c:formatCode>_-[$NGN]\ * #,##0.00_-;\-[$NGN]\ * #,##0.00_-;_-[$NGN]\ * "-"??_-;_-@_-</c:formatCode>
                <c:ptCount val="3"/>
                <c:pt idx="0">
                  <c:v>28000</c:v>
                </c:pt>
                <c:pt idx="1">
                  <c:v>17000</c:v>
                </c:pt>
                <c:pt idx="2">
                  <c:v>13000</c:v>
                </c:pt>
              </c:numCache>
            </c:numRef>
          </c:val>
        </c:ser>
        <c:axId val="64207488"/>
        <c:axId val="64221568"/>
      </c:barChart>
      <c:catAx>
        <c:axId val="64207488"/>
        <c:scaling>
          <c:orientation val="minMax"/>
        </c:scaling>
        <c:axPos val="b"/>
        <c:tickLblPos val="nextTo"/>
        <c:crossAx val="64221568"/>
        <c:crosses val="autoZero"/>
        <c:auto val="1"/>
        <c:lblAlgn val="ctr"/>
        <c:lblOffset val="100"/>
      </c:catAx>
      <c:valAx>
        <c:axId val="64221568"/>
        <c:scaling>
          <c:orientation val="minMax"/>
        </c:scaling>
        <c:axPos val="l"/>
        <c:majorGridlines/>
        <c:numFmt formatCode="_-[$NGN]\ * #,##0.00_-;\-[$NGN]\ * #,##0.00_-;_-[$NGN]\ * &quot;-&quot;??_-;_-@_-" sourceLinked="1"/>
        <c:tickLblPos val="nextTo"/>
        <c:crossAx val="642074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17</xdr:row>
      <xdr:rowOff>22860</xdr:rowOff>
    </xdr:from>
    <xdr:to>
      <xdr:col>15</xdr:col>
      <xdr:colOff>22860</xdr:colOff>
      <xdr:row>31</xdr:row>
      <xdr:rowOff>167640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411480</xdr:colOff>
      <xdr:row>17</xdr:row>
      <xdr:rowOff>30480</xdr:rowOff>
    </xdr:from>
    <xdr:to>
      <xdr:col>7</xdr:col>
      <xdr:colOff>441960</xdr:colOff>
      <xdr:row>31</xdr:row>
      <xdr:rowOff>175260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373380</xdr:colOff>
      <xdr:row>49</xdr:row>
      <xdr:rowOff>30480</xdr:rowOff>
    </xdr:from>
    <xdr:to>
      <xdr:col>7</xdr:col>
      <xdr:colOff>495300</xdr:colOff>
      <xdr:row>62</xdr:row>
      <xdr:rowOff>144780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571500</xdr:colOff>
      <xdr:row>32</xdr:row>
      <xdr:rowOff>99060</xdr:rowOff>
    </xdr:from>
    <xdr:to>
      <xdr:col>15</xdr:col>
      <xdr:colOff>83820</xdr:colOff>
      <xdr:row>47</xdr:row>
      <xdr:rowOff>99060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381000</xdr:colOff>
      <xdr:row>33</xdr:row>
      <xdr:rowOff>30480</xdr:rowOff>
    </xdr:from>
    <xdr:to>
      <xdr:col>7</xdr:col>
      <xdr:colOff>441960</xdr:colOff>
      <xdr:row>47</xdr:row>
      <xdr:rowOff>129540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601980</xdr:colOff>
      <xdr:row>48</xdr:row>
      <xdr:rowOff>76200</xdr:rowOff>
    </xdr:from>
    <xdr:to>
      <xdr:col>15</xdr:col>
      <xdr:colOff>22860</xdr:colOff>
      <xdr:row>62</xdr:row>
      <xdr:rowOff>167640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H14" totalsRowShown="0" headerRowDxfId="2">
  <autoFilter ref="A1:H14"/>
  <tableColumns count="8">
    <tableColumn id="1" name="Campaign"/>
    <tableColumn id="2" name="Channel"/>
    <tableColumn id="3" name="Spend" dataDxfId="1"/>
    <tableColumn id="4" name="Impressions"/>
    <tableColumn id="5" name="Clicks"/>
    <tableColumn id="6" name="Conversions"/>
    <tableColumn id="7" name="Revenue" dataDxfId="0"/>
    <tableColumn id="8" name="Date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ntrol" Target="../activeX/activeX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activeCell="B23" sqref="B23"/>
    </sheetView>
  </sheetViews>
  <sheetFormatPr defaultRowHeight="14.4"/>
  <cols>
    <col min="1" max="1" width="16.44140625" customWidth="1"/>
    <col min="2" max="2" width="26.21875" customWidth="1"/>
    <col min="3" max="3" width="13.6640625" customWidth="1"/>
    <col min="4" max="4" width="12.88671875" customWidth="1"/>
    <col min="5" max="5" width="12.6640625" customWidth="1"/>
    <col min="6" max="6" width="13.33203125" customWidth="1"/>
    <col min="7" max="7" width="16.77734375" customWidth="1"/>
    <col min="8" max="8" width="14.77734375" customWidth="1"/>
    <col min="9" max="9" width="10.44140625" customWidth="1"/>
  </cols>
  <sheetData>
    <row r="1" spans="1:8" s="2" customFormat="1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t="s">
        <v>7</v>
      </c>
      <c r="B2" t="s">
        <v>8</v>
      </c>
      <c r="C2" s="4">
        <v>5000</v>
      </c>
      <c r="D2">
        <v>100000</v>
      </c>
      <c r="E2">
        <v>5000</v>
      </c>
      <c r="F2">
        <v>250</v>
      </c>
      <c r="G2" s="4">
        <v>25000</v>
      </c>
      <c r="H2" s="1">
        <v>45809</v>
      </c>
    </row>
    <row r="3" spans="1:8">
      <c r="A3" t="s">
        <v>7</v>
      </c>
      <c r="B3" t="s">
        <v>9</v>
      </c>
      <c r="C3" s="4">
        <v>3500</v>
      </c>
      <c r="D3">
        <v>80000</v>
      </c>
      <c r="E3">
        <v>3200</v>
      </c>
      <c r="F3">
        <v>160</v>
      </c>
      <c r="G3" s="4">
        <v>16000</v>
      </c>
      <c r="H3" s="1">
        <v>45809</v>
      </c>
    </row>
    <row r="4" spans="1:8">
      <c r="A4" t="s">
        <v>7</v>
      </c>
      <c r="B4" t="s">
        <v>10</v>
      </c>
      <c r="C4" s="4">
        <v>1000</v>
      </c>
      <c r="D4">
        <v>20000</v>
      </c>
      <c r="E4">
        <v>2000</v>
      </c>
      <c r="F4">
        <v>120</v>
      </c>
      <c r="G4" s="4">
        <v>12000</v>
      </c>
      <c r="H4" s="1">
        <v>45809</v>
      </c>
    </row>
    <row r="5" spans="1:8">
      <c r="C5" s="4"/>
      <c r="G5" s="4"/>
      <c r="H5" s="1"/>
    </row>
    <row r="6" spans="1:8">
      <c r="A6" s="3" t="s">
        <v>0</v>
      </c>
      <c r="B6" s="3" t="s">
        <v>1</v>
      </c>
      <c r="C6" s="5" t="s">
        <v>13</v>
      </c>
      <c r="D6" s="3" t="s">
        <v>2</v>
      </c>
      <c r="E6" s="3" t="s">
        <v>3</v>
      </c>
      <c r="F6" s="3" t="s">
        <v>4</v>
      </c>
      <c r="G6" s="5" t="s">
        <v>5</v>
      </c>
      <c r="H6" s="3" t="s">
        <v>6</v>
      </c>
    </row>
    <row r="7" spans="1:8">
      <c r="A7" t="s">
        <v>11</v>
      </c>
      <c r="B7" t="s">
        <v>8</v>
      </c>
      <c r="C7" s="4">
        <v>6000</v>
      </c>
      <c r="D7">
        <v>120000</v>
      </c>
      <c r="E7">
        <v>6000</v>
      </c>
      <c r="F7">
        <v>300</v>
      </c>
      <c r="G7" s="4">
        <v>30000</v>
      </c>
      <c r="H7" s="1">
        <v>45901</v>
      </c>
    </row>
    <row r="8" spans="1:8">
      <c r="A8" t="s">
        <v>11</v>
      </c>
      <c r="B8" t="s">
        <v>9</v>
      </c>
      <c r="C8" s="4">
        <v>4000</v>
      </c>
      <c r="D8">
        <v>90000</v>
      </c>
      <c r="E8">
        <v>3600</v>
      </c>
      <c r="F8">
        <v>180</v>
      </c>
      <c r="G8" s="4">
        <v>18000</v>
      </c>
      <c r="H8" s="1">
        <v>45901</v>
      </c>
    </row>
    <row r="9" spans="1:8">
      <c r="A9" t="s">
        <v>11</v>
      </c>
      <c r="B9" t="s">
        <v>10</v>
      </c>
      <c r="C9" s="4">
        <v>1500</v>
      </c>
      <c r="D9">
        <v>25000</v>
      </c>
      <c r="E9">
        <v>2500</v>
      </c>
      <c r="F9">
        <v>150</v>
      </c>
      <c r="G9" s="4">
        <v>15000</v>
      </c>
      <c r="H9" s="1">
        <v>45901</v>
      </c>
    </row>
    <row r="10" spans="1:8">
      <c r="C10" s="4"/>
      <c r="G10" s="4"/>
      <c r="H10" s="1"/>
    </row>
    <row r="11" spans="1:8">
      <c r="A11" s="3" t="s">
        <v>0</v>
      </c>
      <c r="B11" s="3" t="s">
        <v>1</v>
      </c>
      <c r="C11" s="5" t="s">
        <v>13</v>
      </c>
      <c r="D11" s="3" t="s">
        <v>2</v>
      </c>
      <c r="E11" s="3" t="s">
        <v>3</v>
      </c>
      <c r="F11" s="3" t="s">
        <v>4</v>
      </c>
      <c r="G11" s="5" t="s">
        <v>5</v>
      </c>
      <c r="H11" s="3" t="s">
        <v>6</v>
      </c>
    </row>
    <row r="12" spans="1:8">
      <c r="A12" t="s">
        <v>12</v>
      </c>
      <c r="B12" t="s">
        <v>8</v>
      </c>
      <c r="C12" s="4">
        <v>5500</v>
      </c>
      <c r="D12">
        <v>110000</v>
      </c>
      <c r="E12">
        <v>5500</v>
      </c>
      <c r="F12">
        <v>280</v>
      </c>
      <c r="G12" s="4">
        <v>28000</v>
      </c>
      <c r="H12" s="1">
        <v>45992</v>
      </c>
    </row>
    <row r="13" spans="1:8">
      <c r="A13" t="s">
        <v>12</v>
      </c>
      <c r="B13" t="s">
        <v>9</v>
      </c>
      <c r="C13" s="4">
        <v>3800</v>
      </c>
      <c r="D13">
        <v>85000</v>
      </c>
      <c r="E13">
        <v>3400</v>
      </c>
      <c r="F13">
        <v>170</v>
      </c>
      <c r="G13" s="4">
        <v>17000</v>
      </c>
      <c r="H13" s="1">
        <v>45992</v>
      </c>
    </row>
    <row r="14" spans="1:8">
      <c r="A14" t="s">
        <v>12</v>
      </c>
      <c r="B14" t="s">
        <v>10</v>
      </c>
      <c r="C14" s="4">
        <v>1200</v>
      </c>
      <c r="D14">
        <v>22000</v>
      </c>
      <c r="E14">
        <v>2200</v>
      </c>
      <c r="F14">
        <v>130</v>
      </c>
      <c r="G14" s="4">
        <v>13000</v>
      </c>
      <c r="H14" s="1">
        <v>45992</v>
      </c>
    </row>
    <row r="15" spans="1:8">
      <c r="A15" s="2"/>
    </row>
    <row r="16" spans="1:8">
      <c r="A16" s="2"/>
    </row>
    <row r="17" spans="1:2">
      <c r="A17" s="2"/>
    </row>
    <row r="18" spans="1:2" ht="18">
      <c r="A18" s="7" t="s">
        <v>14</v>
      </c>
      <c r="B18" s="27">
        <f>SUM(C2:C14)</f>
        <v>31500</v>
      </c>
    </row>
    <row r="19" spans="1:2" ht="18">
      <c r="A19" s="7" t="s">
        <v>15</v>
      </c>
      <c r="B19" s="7">
        <f>SUM(D2:D14)</f>
        <v>652000</v>
      </c>
    </row>
    <row r="20" spans="1:2" ht="18">
      <c r="A20" s="7" t="s">
        <v>16</v>
      </c>
      <c r="B20" s="7">
        <f>SUM(E2:E14)</f>
        <v>33400</v>
      </c>
    </row>
    <row r="21" spans="1:2" ht="18">
      <c r="A21" s="7" t="s">
        <v>17</v>
      </c>
      <c r="B21" s="7">
        <f>SUM(F2:F14)</f>
        <v>1740</v>
      </c>
    </row>
    <row r="22" spans="1:2" ht="18">
      <c r="A22" s="7" t="s">
        <v>18</v>
      </c>
      <c r="B22" s="27">
        <f>SUM(G2:G14)</f>
        <v>174000</v>
      </c>
    </row>
    <row r="23" spans="1:2">
      <c r="A23" s="2"/>
    </row>
    <row r="24" spans="1:2">
      <c r="A24" s="2"/>
    </row>
    <row r="25" spans="1:2">
      <c r="A25" s="2"/>
    </row>
    <row r="26" spans="1:2">
      <c r="A26" s="2"/>
    </row>
  </sheetData>
  <conditionalFormatting sqref="A1:H15">
    <cfRule type="colorScale" priority="2">
      <colorScale>
        <cfvo type="min" val="0"/>
        <cfvo type="max" val="0"/>
        <color rgb="FFFFEF9C"/>
        <color rgb="FFFF7128"/>
      </colorScale>
    </cfRule>
  </conditionalFormatting>
  <conditionalFormatting sqref="A1:H14">
    <cfRule type="colorScale" priority="1">
      <colorScale>
        <cfvo type="min" val="0"/>
        <cfvo type="max" val="0"/>
        <color theme="2"/>
        <color theme="2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selection activeCell="A27" sqref="A26:A27"/>
    </sheetView>
  </sheetViews>
  <sheetFormatPr defaultRowHeight="14.4"/>
  <cols>
    <col min="1" max="1" width="25.88671875" customWidth="1"/>
    <col min="2" max="2" width="19.88671875" customWidth="1"/>
    <col min="3" max="3" width="20.33203125" customWidth="1"/>
    <col min="4" max="4" width="13.6640625" customWidth="1"/>
    <col min="5" max="5" width="14.33203125" customWidth="1"/>
    <col min="9" max="9" width="23.77734375" customWidth="1"/>
  </cols>
  <sheetData>
    <row r="1" spans="1:11" ht="18">
      <c r="A1" s="7" t="s">
        <v>1</v>
      </c>
      <c r="B1" s="7" t="s">
        <v>20</v>
      </c>
      <c r="C1" s="7" t="s">
        <v>21</v>
      </c>
      <c r="D1" s="7" t="s">
        <v>4</v>
      </c>
      <c r="E1" s="7" t="s">
        <v>2</v>
      </c>
      <c r="F1" s="7" t="s">
        <v>3</v>
      </c>
    </row>
    <row r="2" spans="1:11" ht="34.799999999999997" customHeight="1">
      <c r="A2" s="7" t="s">
        <v>10</v>
      </c>
      <c r="B2" s="15">
        <v>3700</v>
      </c>
      <c r="C2" s="15">
        <v>40000</v>
      </c>
      <c r="D2" s="16">
        <v>400</v>
      </c>
      <c r="E2" s="16">
        <v>67000</v>
      </c>
      <c r="F2" s="16">
        <v>6700</v>
      </c>
      <c r="I2" s="6"/>
    </row>
    <row r="3" spans="1:11" ht="34.799999999999997" customHeight="1">
      <c r="A3" s="7" t="s">
        <v>9</v>
      </c>
      <c r="B3" s="15">
        <v>11300</v>
      </c>
      <c r="C3" s="15">
        <v>51000</v>
      </c>
      <c r="D3" s="16">
        <v>510</v>
      </c>
      <c r="E3" s="16">
        <v>255000</v>
      </c>
      <c r="F3" s="16">
        <v>10200</v>
      </c>
      <c r="I3" s="6"/>
    </row>
    <row r="4" spans="1:11" ht="31.8" customHeight="1">
      <c r="A4" s="7" t="s">
        <v>8</v>
      </c>
      <c r="B4" s="15">
        <v>16500</v>
      </c>
      <c r="C4" s="15">
        <v>83000</v>
      </c>
      <c r="D4" s="16">
        <v>830</v>
      </c>
      <c r="E4" s="16">
        <v>330000</v>
      </c>
      <c r="F4" s="16">
        <v>16500</v>
      </c>
      <c r="I4" s="6"/>
    </row>
    <row r="7" spans="1:11" ht="18">
      <c r="A7" s="22"/>
      <c r="B7" s="23"/>
    </row>
    <row r="8" spans="1:11" ht="21">
      <c r="B8" s="14" t="s">
        <v>36</v>
      </c>
      <c r="I8" s="6"/>
    </row>
    <row r="9" spans="1:11" ht="18">
      <c r="A9" s="17" t="s">
        <v>0</v>
      </c>
      <c r="B9" s="17" t="s">
        <v>20</v>
      </c>
      <c r="C9" s="17" t="s">
        <v>21</v>
      </c>
      <c r="D9" s="17" t="s">
        <v>22</v>
      </c>
      <c r="E9" s="17" t="s">
        <v>4</v>
      </c>
      <c r="F9" s="17" t="s">
        <v>23</v>
      </c>
      <c r="G9" s="16"/>
      <c r="H9" s="16"/>
      <c r="I9" s="18"/>
    </row>
    <row r="10" spans="1:11" ht="18">
      <c r="A10" s="19" t="s">
        <v>7</v>
      </c>
      <c r="B10" s="20" t="s">
        <v>24</v>
      </c>
      <c r="C10" s="20" t="s">
        <v>25</v>
      </c>
      <c r="D10" s="20" t="s">
        <v>26</v>
      </c>
      <c r="E10" s="20">
        <v>530</v>
      </c>
      <c r="F10" s="20" t="s">
        <v>27</v>
      </c>
      <c r="G10" s="16"/>
      <c r="H10" s="16"/>
      <c r="I10" s="18"/>
    </row>
    <row r="11" spans="1:11" ht="18">
      <c r="A11" s="19" t="s">
        <v>11</v>
      </c>
      <c r="B11" s="20" t="s">
        <v>28</v>
      </c>
      <c r="C11" s="20" t="s">
        <v>29</v>
      </c>
      <c r="D11" s="20" t="s">
        <v>30</v>
      </c>
      <c r="E11" s="20">
        <v>630</v>
      </c>
      <c r="F11" s="20" t="s">
        <v>31</v>
      </c>
      <c r="G11" s="16"/>
      <c r="H11" s="16"/>
      <c r="I11" s="16"/>
    </row>
    <row r="12" spans="1:11" ht="18">
      <c r="A12" s="19" t="s">
        <v>12</v>
      </c>
      <c r="B12" s="20" t="s">
        <v>32</v>
      </c>
      <c r="C12" s="20" t="s">
        <v>33</v>
      </c>
      <c r="D12" s="20" t="s">
        <v>34</v>
      </c>
      <c r="E12" s="20">
        <v>580</v>
      </c>
      <c r="F12" s="20" t="s">
        <v>35</v>
      </c>
      <c r="G12" s="16"/>
      <c r="H12" s="16"/>
      <c r="I12" s="16"/>
    </row>
    <row r="13" spans="1:11" ht="18">
      <c r="A13" s="21"/>
      <c r="B13" s="16"/>
      <c r="C13" s="16"/>
      <c r="D13" s="16"/>
      <c r="E13" s="16"/>
      <c r="F13" s="16"/>
      <c r="G13" s="16"/>
      <c r="H13" s="16"/>
      <c r="I13" s="16"/>
    </row>
    <row r="14" spans="1:11" ht="21">
      <c r="A14" s="13" t="s">
        <v>37</v>
      </c>
      <c r="B14" s="7"/>
      <c r="C14" s="7"/>
      <c r="D14" s="7"/>
      <c r="E14" s="7"/>
      <c r="F14" s="7"/>
      <c r="G14" s="7"/>
      <c r="H14" s="7"/>
      <c r="I14" s="7"/>
      <c r="J14" s="2"/>
      <c r="K14" s="2"/>
    </row>
    <row r="15" spans="1:11" ht="18">
      <c r="A15" s="16"/>
      <c r="B15" s="16"/>
      <c r="C15" s="16"/>
      <c r="D15" s="16"/>
      <c r="E15" s="16"/>
      <c r="F15" s="16"/>
      <c r="G15" s="16"/>
      <c r="H15" s="16"/>
      <c r="I15" s="16"/>
    </row>
    <row r="17" spans="1:2" ht="15.6">
      <c r="A17" s="8" t="s">
        <v>38</v>
      </c>
      <c r="B17" s="8"/>
    </row>
    <row r="18" spans="1:2">
      <c r="A18" t="s">
        <v>47</v>
      </c>
    </row>
    <row r="20" spans="1:2" ht="15.6">
      <c r="A20" s="8" t="s">
        <v>48</v>
      </c>
    </row>
    <row r="21" spans="1:2">
      <c r="A21" t="s">
        <v>49</v>
      </c>
    </row>
    <row r="37" spans="2:2">
      <c r="B37" t="s">
        <v>19</v>
      </c>
    </row>
    <row r="38" spans="2:2">
      <c r="B38" t="s">
        <v>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R202"/>
  <sheetViews>
    <sheetView workbookViewId="0">
      <selection activeCell="E13" sqref="E13"/>
    </sheetView>
  </sheetViews>
  <sheetFormatPr defaultRowHeight="14.4"/>
  <sheetData>
    <row r="1" spans="1:18" ht="21">
      <c r="A1" s="24"/>
      <c r="E1" s="14" t="s">
        <v>46</v>
      </c>
    </row>
    <row r="3" spans="1:18" ht="18">
      <c r="A3" s="16" t="s">
        <v>50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8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7" spans="1:18" ht="18">
      <c r="A7" s="24" t="s">
        <v>39</v>
      </c>
    </row>
    <row r="9" spans="1:18" ht="18">
      <c r="A9" s="16" t="s">
        <v>56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ht="18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18">
      <c r="A11" s="7" t="s">
        <v>51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ht="1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ht="1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ht="18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ht="18">
      <c r="A15" s="7" t="s">
        <v>40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ht="18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ht="18">
      <c r="A17" s="16" t="s">
        <v>52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ht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ht="18">
      <c r="A19" s="7" t="s">
        <v>53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ht="18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ht="18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ht="18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ht="18">
      <c r="A23" s="7" t="s">
        <v>41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ht="18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ht="18">
      <c r="A25" s="16" t="s">
        <v>54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ht="18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18" ht="18">
      <c r="A27" s="7" t="s">
        <v>55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1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8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spans="1:18" ht="18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spans="1:18" ht="18">
      <c r="A31" s="7" t="s">
        <v>42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1:18" ht="18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ht="18">
      <c r="A33" s="16" t="s">
        <v>43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7" spans="1:18" ht="23.4">
      <c r="A37" s="25" t="s">
        <v>44</v>
      </c>
    </row>
    <row r="38" spans="1:18">
      <c r="A38" s="11"/>
    </row>
    <row r="39" spans="1:18">
      <c r="A39" s="12" t="s">
        <v>45</v>
      </c>
    </row>
    <row r="43" spans="1:18" ht="23.4">
      <c r="A43" s="25"/>
    </row>
    <row r="45" spans="1:18">
      <c r="A45" s="9"/>
      <c r="B45" s="9"/>
      <c r="C45" s="9"/>
      <c r="D45" s="9"/>
    </row>
    <row r="46" spans="1:18">
      <c r="A46" s="10"/>
      <c r="B46" s="10"/>
      <c r="C46" s="10"/>
      <c r="D46" s="10"/>
    </row>
    <row r="47" spans="1:18">
      <c r="A47" s="10"/>
      <c r="B47" s="10"/>
      <c r="C47" s="10"/>
      <c r="D47" s="10"/>
    </row>
    <row r="48" spans="1:18">
      <c r="A48" s="10"/>
      <c r="B48" s="10"/>
      <c r="C48" s="10"/>
      <c r="D48" s="10"/>
    </row>
    <row r="59" spans="1:1" ht="23.4">
      <c r="A59" s="25"/>
    </row>
    <row r="63" spans="1:1" ht="15">
      <c r="A63" s="26"/>
    </row>
    <row r="64" spans="1:1" ht="15">
      <c r="A64" s="26"/>
    </row>
    <row r="65" spans="1:1" ht="15">
      <c r="A65" s="26"/>
    </row>
    <row r="66" spans="1:1" ht="15">
      <c r="A66" s="26"/>
    </row>
    <row r="67" spans="1:1" ht="15">
      <c r="A67" s="26"/>
    </row>
    <row r="68" spans="1:1" ht="15">
      <c r="A68" s="26"/>
    </row>
    <row r="69" spans="1:1" ht="15">
      <c r="A69" s="26"/>
    </row>
    <row r="70" spans="1:1" ht="15">
      <c r="A70" s="26"/>
    </row>
    <row r="71" spans="1:1" ht="15">
      <c r="A71" s="26"/>
    </row>
    <row r="72" spans="1:1" ht="15">
      <c r="A72" s="26"/>
    </row>
    <row r="73" spans="1:1" ht="15">
      <c r="A73" s="26"/>
    </row>
    <row r="74" spans="1:1" ht="15">
      <c r="A74" s="26"/>
    </row>
    <row r="75" spans="1:1" ht="15">
      <c r="A75" s="26"/>
    </row>
    <row r="76" spans="1:1" ht="15">
      <c r="A76" s="26"/>
    </row>
    <row r="77" spans="1:1" ht="15">
      <c r="A77" s="26"/>
    </row>
    <row r="78" spans="1:1" ht="15">
      <c r="A78" s="26"/>
    </row>
    <row r="79" spans="1:1" ht="15">
      <c r="A79" s="26"/>
    </row>
    <row r="80" spans="1:1" ht="15">
      <c r="A80" s="26"/>
    </row>
    <row r="81" spans="1:1" ht="15">
      <c r="A81" s="26"/>
    </row>
    <row r="82" spans="1:1" ht="15">
      <c r="A82" s="26"/>
    </row>
    <row r="83" spans="1:1" ht="15">
      <c r="A83" s="26"/>
    </row>
    <row r="84" spans="1:1" ht="15">
      <c r="A84" s="26"/>
    </row>
    <row r="85" spans="1:1" ht="15">
      <c r="A85" s="26"/>
    </row>
    <row r="86" spans="1:1" ht="15">
      <c r="A86" s="26"/>
    </row>
    <row r="87" spans="1:1" ht="15">
      <c r="A87" s="26"/>
    </row>
    <row r="88" spans="1:1" ht="15">
      <c r="A88" s="26"/>
    </row>
    <row r="89" spans="1:1" ht="15">
      <c r="A89" s="26"/>
    </row>
    <row r="90" spans="1:1" ht="15">
      <c r="A90" s="26"/>
    </row>
    <row r="91" spans="1:1" ht="15">
      <c r="A91" s="26"/>
    </row>
    <row r="92" spans="1:1" ht="15">
      <c r="A92" s="26"/>
    </row>
    <row r="93" spans="1:1" ht="15">
      <c r="A93" s="26"/>
    </row>
    <row r="94" spans="1:1" ht="15">
      <c r="A94" s="26"/>
    </row>
    <row r="95" spans="1:1" ht="15">
      <c r="A95" s="26"/>
    </row>
    <row r="96" spans="1:1" ht="15">
      <c r="A96" s="26"/>
    </row>
    <row r="97" spans="1:1" ht="15">
      <c r="A97" s="26"/>
    </row>
    <row r="98" spans="1:1" ht="15">
      <c r="A98" s="26"/>
    </row>
    <row r="99" spans="1:1" ht="15">
      <c r="A99" s="26"/>
    </row>
    <row r="100" spans="1:1" ht="15">
      <c r="A100" s="26"/>
    </row>
    <row r="101" spans="1:1" ht="15">
      <c r="A101" s="26"/>
    </row>
    <row r="102" spans="1:1" ht="15">
      <c r="A102" s="26"/>
    </row>
    <row r="103" spans="1:1" ht="15">
      <c r="A103" s="26"/>
    </row>
    <row r="104" spans="1:1" ht="15">
      <c r="A104" s="26"/>
    </row>
    <row r="105" spans="1:1" ht="15">
      <c r="A105" s="26"/>
    </row>
    <row r="106" spans="1:1" ht="15">
      <c r="A106" s="26"/>
    </row>
    <row r="107" spans="1:1" ht="15">
      <c r="A107" s="26"/>
    </row>
    <row r="108" spans="1:1" ht="15">
      <c r="A108" s="26"/>
    </row>
    <row r="109" spans="1:1" ht="15">
      <c r="A109" s="26"/>
    </row>
    <row r="110" spans="1:1" ht="15">
      <c r="A110" s="26"/>
    </row>
    <row r="111" spans="1:1" ht="15">
      <c r="A111" s="26"/>
    </row>
    <row r="112" spans="1:1" ht="15">
      <c r="A112" s="26"/>
    </row>
    <row r="113" spans="1:1" ht="15">
      <c r="A113" s="26"/>
    </row>
    <row r="117" spans="1:1" ht="23.4">
      <c r="A117" s="25"/>
    </row>
    <row r="121" spans="1:1" ht="18">
      <c r="A121" s="24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7" spans="1:1" ht="18">
      <c r="A127" s="24"/>
    </row>
    <row r="129" spans="1:3">
      <c r="A129" s="9"/>
      <c r="B129" s="9"/>
    </row>
    <row r="130" spans="1:3">
      <c r="A130" s="10"/>
      <c r="B130" s="10"/>
    </row>
    <row r="131" spans="1:3">
      <c r="A131" s="10"/>
      <c r="B131" s="10"/>
    </row>
    <row r="132" spans="1:3">
      <c r="A132" s="10"/>
      <c r="B132" s="10"/>
    </row>
    <row r="133" spans="1:3">
      <c r="A133" s="10"/>
      <c r="B133" s="10"/>
    </row>
    <row r="134" spans="1:3">
      <c r="A134" s="10"/>
      <c r="B134" s="10"/>
    </row>
    <row r="135" spans="1:3">
      <c r="A135" s="10"/>
      <c r="B135" s="10"/>
    </row>
    <row r="136" spans="1:3">
      <c r="A136" s="10"/>
      <c r="B136" s="10"/>
    </row>
    <row r="138" spans="1:3" ht="18">
      <c r="A138" s="24"/>
    </row>
    <row r="140" spans="1:3">
      <c r="A140" s="9"/>
      <c r="B140" s="9"/>
      <c r="C140" s="9"/>
    </row>
    <row r="141" spans="1:3">
      <c r="A141" s="10"/>
      <c r="B141" s="10"/>
      <c r="C141" s="10"/>
    </row>
    <row r="142" spans="1:3">
      <c r="A142" s="10"/>
      <c r="B142" s="10"/>
      <c r="C142" s="10"/>
    </row>
    <row r="143" spans="1:3">
      <c r="A143" s="10"/>
      <c r="B143" s="10"/>
      <c r="C143" s="10"/>
    </row>
    <row r="144" spans="1:3">
      <c r="A144" s="10"/>
      <c r="B144" s="10"/>
      <c r="C144" s="10"/>
    </row>
    <row r="146" spans="1:1" ht="18">
      <c r="A146" s="24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4" spans="1:1" ht="23.4">
      <c r="A154" s="25"/>
    </row>
    <row r="160" spans="1:1" ht="15">
      <c r="A160" s="26"/>
    </row>
    <row r="161" spans="1:1" ht="15">
      <c r="A161" s="26"/>
    </row>
    <row r="162" spans="1:1" ht="15">
      <c r="A162" s="26"/>
    </row>
    <row r="163" spans="1:1" ht="15">
      <c r="A163" s="26"/>
    </row>
    <row r="164" spans="1:1" ht="15">
      <c r="A164" s="26"/>
    </row>
    <row r="165" spans="1:1" ht="15">
      <c r="A165" s="26"/>
    </row>
    <row r="166" spans="1:1" ht="15">
      <c r="A166" s="26"/>
    </row>
    <row r="167" spans="1:1" ht="15">
      <c r="A167" s="26"/>
    </row>
    <row r="168" spans="1:1" ht="15">
      <c r="A168" s="26"/>
    </row>
    <row r="169" spans="1:1" ht="15">
      <c r="A169" s="26"/>
    </row>
    <row r="170" spans="1:1" ht="15">
      <c r="A170" s="26"/>
    </row>
    <row r="171" spans="1:1" ht="15">
      <c r="A171" s="26"/>
    </row>
    <row r="172" spans="1:1" ht="15">
      <c r="A172" s="26"/>
    </row>
    <row r="173" spans="1:1" ht="15">
      <c r="A173" s="26"/>
    </row>
    <row r="174" spans="1:1" ht="15">
      <c r="A174" s="26"/>
    </row>
    <row r="175" spans="1:1" ht="15">
      <c r="A175" s="26"/>
    </row>
    <row r="176" spans="1:1" ht="15">
      <c r="A176" s="26"/>
    </row>
    <row r="177" spans="1:1" ht="15">
      <c r="A177" s="26"/>
    </row>
    <row r="178" spans="1:1" ht="15">
      <c r="A178" s="26"/>
    </row>
    <row r="179" spans="1:1" ht="15">
      <c r="A179" s="26"/>
    </row>
    <row r="180" spans="1:1" ht="15">
      <c r="A180" s="26"/>
    </row>
    <row r="181" spans="1:1" ht="15">
      <c r="A181" s="26"/>
    </row>
    <row r="182" spans="1:1" ht="15">
      <c r="A182" s="26"/>
    </row>
    <row r="183" spans="1:1" ht="15">
      <c r="A183" s="26"/>
    </row>
    <row r="184" spans="1:1" ht="15">
      <c r="A184" s="26"/>
    </row>
    <row r="185" spans="1:1" ht="15">
      <c r="A185" s="26"/>
    </row>
    <row r="186" spans="1:1" ht="15">
      <c r="A186" s="26"/>
    </row>
    <row r="187" spans="1:1" ht="15">
      <c r="A187" s="26"/>
    </row>
    <row r="188" spans="1:1" ht="15">
      <c r="A188" s="26"/>
    </row>
    <row r="192" spans="1:1" ht="23.4">
      <c r="A192" s="25"/>
    </row>
    <row r="198" spans="1:1" ht="15">
      <c r="A198" s="26"/>
    </row>
    <row r="201" spans="1:1">
      <c r="A201" s="11"/>
    </row>
    <row r="202" spans="1:1">
      <c r="A202" s="11"/>
    </row>
  </sheetData>
  <pageMargins left="0.7" right="0.7" top="0.75" bottom="0.75" header="0.3" footer="0.3"/>
  <legacyDrawing r:id="rId1"/>
  <controls>
    <control shapeId="1025" r:id="rId2" name="Control 1"/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BUSSINESS DATA</vt:lpstr>
      <vt:lpstr>EXECUTIVE SUMMARY</vt:lpstr>
      <vt:lpstr>PROFFESSIONAL INSIGHT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2026-05-10T11:46:31Z</dcterms:created>
  <dcterms:modified xsi:type="dcterms:W3CDTF">2026-05-22T08:37:03Z</dcterms:modified>
</cp:coreProperties>
</file>